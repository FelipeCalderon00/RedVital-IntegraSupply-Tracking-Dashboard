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pc\Desktop\Cristina\Documentos\universidad\2026\Estudio de caso Balanced Scorecard\entregas octubre balanced\RedVital-IntegraSupply-Tracking-Dashboard\"/>
    </mc:Choice>
  </mc:AlternateContent>
  <xr:revisionPtr revIDLastSave="0" documentId="13_ncr:1_{A2A9A1FA-5AB5-4E72-A26E-E2D22B4C39F2}" xr6:coauthVersionLast="47" xr6:coauthVersionMax="47" xr10:uidLastSave="{00000000-0000-0000-0000-000000000000}"/>
  <bookViews>
    <workbookView xWindow="-109" yWindow="-109" windowWidth="18693" windowHeight="10067" xr2:uid="{00000000-000D-0000-FFFF-FFFF00000000}"/>
  </bookViews>
  <sheets>
    <sheet name="Modelo Valor Gan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<sst xmlns="http://schemas.openxmlformats.org/spreadsheetml/2006/main" count="23" uniqueCount="23">
  <si>
    <t>Métrica EVM</t>
  </si>
  <si>
    <t>Presupuesto total del proyecto</t>
  </si>
  <si>
    <t>Avance programado al Mes 3 (33,3%)</t>
  </si>
  <si>
    <t>Gasto ejecutado al Mes 3</t>
  </si>
  <si>
    <t>Avance físico real aceptado (25%)</t>
  </si>
  <si>
    <t>Presupuesto aprobado (BAC)</t>
  </si>
  <si>
    <t>Valor planificado (PV)</t>
  </si>
  <si>
    <t>Valor ganado (EV)</t>
  </si>
  <si>
    <t>Variación de costo (CV)</t>
  </si>
  <si>
    <t>Costo real (AC)</t>
  </si>
  <si>
    <t>Variación de cronograma (SV)</t>
  </si>
  <si>
    <t>Índice desempeño costo (CPI)</t>
  </si>
  <si>
    <t>Índice desempeño agenda (SPI)</t>
  </si>
  <si>
    <t>Estimación al finalizar (EAC)</t>
  </si>
  <si>
    <t>Índice trabajo restante (TCPI)</t>
  </si>
  <si>
    <t>B5-B4</t>
  </si>
  <si>
    <t>B5-B3</t>
  </si>
  <si>
    <t>B5/B4</t>
  </si>
  <si>
    <t>B5/B3</t>
  </si>
  <si>
    <t>B2/B8</t>
  </si>
  <si>
    <t>(B2-B5)/(B2-B4)</t>
  </si>
  <si>
    <t>Valor (USD) o Índice</t>
  </si>
  <si>
    <t>Fórmula o 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</si>
</sst>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8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6" fontId="2" fillId="0" borderId="1" xfId="0" applyNumberFormat="1" applyFont="1" applyBorder="1" applyAlignment="1">
      <alignment wrapText="1"/>
    </xf>
    <xf numFmtId="6" fontId="2" fillId="0" borderId="1" xfId="0" quotePrefix="1" applyNumberFormat="1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168" fontId="2" fillId="0" borderId="1" xfId="1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7" sqref="B17"/>
    </sheetView>
  </sheetViews>
  <sheetFormatPr baseColWidth="10" defaultColWidth="31" defaultRowHeight="14.3" x14ac:dyDescent="0.25"/>
  <cols>
    <col min="1" max="1" width="27.25" bestFit="1" customWidth="1"/>
    <col min="2" max="2" width="20.5" customWidth="1"/>
    <col min="3" max="3" width="31.875" bestFit="1" customWidth="1"/>
  </cols>
  <sheetData>
    <row r="1" spans="1:3" ht="14.95" thickBot="1" x14ac:dyDescent="0.3">
      <c r="A1" s="7" t="s">
        <v>0</v>
      </c>
      <c r="B1" s="7" t="s">
        <v>21</v>
      </c>
      <c r="C1" s="7" t="s">
        <v>22</v>
      </c>
    </row>
    <row r="2" spans="1:3" ht="14.95" thickBot="1" x14ac:dyDescent="0.3">
      <c r="A2" s="1" t="s">
        <v>5</v>
      </c>
      <c r="B2" s="3">
        <v>1480000</v>
      </c>
      <c r="C2" s="2" t="s">
        <v>1</v>
      </c>
    </row>
    <row r="3" spans="1:3" ht="14.95" thickBot="1" x14ac:dyDescent="0.3">
      <c r="A3" s="1" t="s">
        <v>6</v>
      </c>
      <c r="B3" s="3">
        <v>493333</v>
      </c>
      <c r="C3" s="2" t="s">
        <v>2</v>
      </c>
    </row>
    <row r="4" spans="1:3" ht="14.95" thickBot="1" x14ac:dyDescent="0.3">
      <c r="A4" s="1" t="s">
        <v>9</v>
      </c>
      <c r="B4" s="3">
        <v>512000</v>
      </c>
      <c r="C4" s="2" t="s">
        <v>3</v>
      </c>
    </row>
    <row r="5" spans="1:3" ht="14.95" thickBot="1" x14ac:dyDescent="0.3">
      <c r="A5" s="1" t="s">
        <v>7</v>
      </c>
      <c r="B5" s="3">
        <v>370000</v>
      </c>
      <c r="C5" s="2" t="s">
        <v>4</v>
      </c>
    </row>
    <row r="6" spans="1:3" ht="14.95" thickBot="1" x14ac:dyDescent="0.3">
      <c r="A6" s="1" t="s">
        <v>8</v>
      </c>
      <c r="B6" s="3">
        <f>+B5-B4</f>
        <v>-142000</v>
      </c>
      <c r="C6" s="4" t="s">
        <v>15</v>
      </c>
    </row>
    <row r="7" spans="1:3" ht="14.95" thickBot="1" x14ac:dyDescent="0.3">
      <c r="A7" s="1" t="s">
        <v>10</v>
      </c>
      <c r="B7" s="3">
        <f>+B5-B3</f>
        <v>-123333</v>
      </c>
      <c r="C7" s="4" t="s">
        <v>16</v>
      </c>
    </row>
    <row r="8" spans="1:3" ht="14.95" thickBot="1" x14ac:dyDescent="0.3">
      <c r="A8" s="1" t="s">
        <v>11</v>
      </c>
      <c r="B8" s="6">
        <f>+B5/B4</f>
        <v>0.72265625</v>
      </c>
      <c r="C8" s="5" t="s">
        <v>17</v>
      </c>
    </row>
    <row r="9" spans="1:3" ht="14.95" thickBot="1" x14ac:dyDescent="0.3">
      <c r="A9" s="1" t="s">
        <v>12</v>
      </c>
      <c r="B9" s="6">
        <f>+B5/B3</f>
        <v>0.75000050675709917</v>
      </c>
      <c r="C9" s="4" t="s">
        <v>18</v>
      </c>
    </row>
    <row r="10" spans="1:3" ht="14.95" thickBot="1" x14ac:dyDescent="0.3">
      <c r="A10" s="1" t="s">
        <v>13</v>
      </c>
      <c r="B10" s="3">
        <f>B2/B8</f>
        <v>2048000</v>
      </c>
      <c r="C10" s="5" t="s">
        <v>19</v>
      </c>
    </row>
    <row r="11" spans="1:3" ht="14.95" thickBot="1" x14ac:dyDescent="0.3">
      <c r="A11" s="1" t="s">
        <v>14</v>
      </c>
      <c r="B11" s="6">
        <f>+(B2-B5)/(B2-B4)</f>
        <v>1.1466942148760331</v>
      </c>
      <c r="C11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Valor Ganado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2015-06-05T18:19:34Z</dcterms:created>
  <dcterms:modified xsi:type="dcterms:W3CDTF">2026-10-16T13:33:45Z</dcterms:modified>
</cp:coreProperties>
</file>