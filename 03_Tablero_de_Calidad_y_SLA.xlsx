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Cristina\Documentos\universidad\2026\Estudio de caso Balanced Scorecard\entregas octubre balanced\"/>
    </mc:Choice>
  </mc:AlternateContent>
  <xr:revisionPtr revIDLastSave="0" documentId="13_ncr:1_{4A814CE9-2522-4BE9-81FE-9B5B6F9F6BB8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Data_Base" sheetId="1" r:id="rId1"/>
    <sheet name="Calculos_EVM" sheetId="2" r:id="rId2"/>
    <sheet name="Dashboard_Ejecutiv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3" l="1"/>
  <c r="M2" i="3"/>
  <c r="K9" i="3"/>
  <c r="M9" i="3" s="1"/>
  <c r="K8" i="3"/>
  <c r="M8" i="3" s="1"/>
  <c r="K7" i="3"/>
  <c r="M7" i="3" s="1"/>
  <c r="K6" i="3"/>
  <c r="M6" i="3" s="1"/>
  <c r="K5" i="3"/>
  <c r="M5" i="3" s="1"/>
  <c r="K3" i="3"/>
  <c r="M3" i="3" s="1"/>
  <c r="K2" i="3"/>
  <c r="I3" i="3"/>
  <c r="I4" i="3" s="1"/>
  <c r="I5" i="3" s="1"/>
  <c r="I6" i="3" s="1"/>
  <c r="I7" i="3" s="1"/>
  <c r="I8" i="3" s="1"/>
  <c r="I9" i="3" s="1"/>
  <c r="G3" i="3"/>
  <c r="E3" i="3"/>
  <c r="C3" i="3"/>
  <c r="A3" i="3"/>
  <c r="B9" i="2"/>
  <c r="B11" i="2" s="1"/>
  <c r="B8" i="2"/>
  <c r="B7" i="2"/>
  <c r="B10" i="2" s="1"/>
  <c r="B13" i="2" l="1"/>
  <c r="B14" i="2" s="1"/>
  <c r="B15" i="2" s="1"/>
  <c r="B12" i="2"/>
</calcChain>
</file>

<file path=xl/sharedStrings.xml><?xml version="1.0" encoding="utf-8"?>
<sst xmlns="http://schemas.openxmlformats.org/spreadsheetml/2006/main" count="85" uniqueCount="83">
  <si>
    <t>Mes</t>
  </si>
  <si>
    <t>Presupuesto Planificado Acumulado (PV)</t>
  </si>
  <si>
    <t>Costo Real Acumulado (AC)</t>
  </si>
  <si>
    <t>% Avance Físico Real</t>
  </si>
  <si>
    <t>Indicador OTIF (%)</t>
  </si>
  <si>
    <t>Trazabilidad (%)</t>
  </si>
  <si>
    <t>Discrepancia Inventario (%)</t>
  </si>
  <si>
    <t>Pérdidas Mermas (USD)</t>
  </si>
  <si>
    <t>Cumplimiento Proveedores (%)</t>
  </si>
  <si>
    <t>Reclamos Clientes</t>
  </si>
  <si>
    <t>Línea Base</t>
  </si>
  <si>
    <t>Mes 1</t>
  </si>
  <si>
    <t>Mes 2</t>
  </si>
  <si>
    <t>Mes 3</t>
  </si>
  <si>
    <t>Parámetro</t>
  </si>
  <si>
    <t>Valor</t>
  </si>
  <si>
    <t>Presupuesto Hasta la Conclusión (BAC)</t>
  </si>
  <si>
    <t>Reserva de Contingencia Disponible</t>
  </si>
  <si>
    <t>Reserva de Gestión Disponible</t>
  </si>
  <si>
    <t>Métrica EVM</t>
  </si>
  <si>
    <t>Valor Planificado (PV)</t>
  </si>
  <si>
    <t>Costo Real (AC)</t>
  </si>
  <si>
    <t>Valor Ganado (EV)</t>
  </si>
  <si>
    <t>82,5%</t>
  </si>
  <si>
    <t>85,5%</t>
  </si>
  <si>
    <t>8,4%</t>
  </si>
  <si>
    <t>7,1%</t>
  </si>
  <si>
    <t>5,2%</t>
  </si>
  <si>
    <t>Variación del Cronograma (SV)</t>
  </si>
  <si>
    <t>Índice Desempeño Cronograma (SPI)</t>
  </si>
  <si>
    <t>Variación del Costo (CV)</t>
  </si>
  <si>
    <t>Índice Desempeño Costo (CPI)</t>
  </si>
  <si>
    <t>Estimación a la Conclusión (EAC)</t>
  </si>
  <si>
    <t>Variación a la Conclusión (VAC)</t>
  </si>
  <si>
    <t>BAC</t>
  </si>
  <si>
    <t>EV</t>
  </si>
  <si>
    <t>SPI</t>
  </si>
  <si>
    <t>CPI</t>
  </si>
  <si>
    <t>COSTO</t>
  </si>
  <si>
    <t>CRONOGRAMA</t>
  </si>
  <si>
    <t>VALOR GANADO</t>
  </si>
  <si>
    <t>PRESUPUESTO TOTAL</t>
  </si>
  <si>
    <t>Valor Actual</t>
  </si>
  <si>
    <t>Meta</t>
  </si>
  <si>
    <t>Estado</t>
  </si>
  <si>
    <t>Umbral</t>
  </si>
  <si>
    <t>Decisión Sugerida</t>
  </si>
  <si>
    <t xml:space="preserve">Indicador </t>
  </si>
  <si>
    <t>Interpretación</t>
  </si>
  <si>
    <t>No</t>
  </si>
  <si>
    <t>SPI (Desempeño Cronograma)</t>
  </si>
  <si>
    <t>Retraso de 19,3% en entregables técnicos</t>
  </si>
  <si>
    <t>SPI &lt; 0,90</t>
  </si>
  <si>
    <t>Replanificar y/o aplicar crashing</t>
  </si>
  <si>
    <t>CPI (Desempeño Financiero)</t>
  </si>
  <si>
    <t>Sobrecosto acumulado por reprocesos</t>
  </si>
  <si>
    <t>CPI &lt; 0,92</t>
  </si>
  <si>
    <t>Auditar horas de consultoría</t>
  </si>
  <si>
    <t>OTIF (Entregas Completas/Tiempo)</t>
  </si>
  <si>
    <t>Mejora frente a línea base, por debajo de meta</t>
  </si>
  <si>
    <t>OTIF &lt; 88%</t>
  </si>
  <si>
    <t xml:space="preserve">Reconfigurar rutas </t>
  </si>
  <si>
    <t>Trazabilidad de Pedidos</t>
  </si>
  <si>
    <t>Brecha en flota contratada</t>
  </si>
  <si>
    <t>Trazabilidad &lt; 80%</t>
  </si>
  <si>
    <t>Exigir uso de App móvil</t>
  </si>
  <si>
    <t>Discrepancia Inventario</t>
  </si>
  <si>
    <t>2,5%</t>
  </si>
  <si>
    <t>Reducción progresiva del error</t>
  </si>
  <si>
    <t>Discrepancia &gt; 4%</t>
  </si>
  <si>
    <t>Implementar conteos cíclicos</t>
  </si>
  <si>
    <t>Pérdidas por Mermas</t>
  </si>
  <si>
    <t>$8.500</t>
  </si>
  <si>
    <t>Cadena de frío presenta vulnerabilidad</t>
  </si>
  <si>
    <t>Pérdida &gt; $12.000</t>
  </si>
  <si>
    <t>Instalar sensores IoT de frío</t>
  </si>
  <si>
    <t>Cumplimiento Proveedores</t>
  </si>
  <si>
    <t>Alta variabilidad documental</t>
  </si>
  <si>
    <t>Cumplimiento &lt; 85%</t>
  </si>
  <si>
    <t>Notificación y suspensión de pagos</t>
  </si>
  <si>
    <t>Disminución relevante de reclamos</t>
  </si>
  <si>
    <t>Publicar tablero de pedidos</t>
  </si>
  <si>
    <t>Reclamos &gt;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</si>
</sst>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[$USD]\ #,##0.00"/>
    <numFmt numFmtId="169" formatCode="0.0%"/>
    <numFmt numFmtId="171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168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left"/>
    </xf>
    <xf numFmtId="168" fontId="0" fillId="0" borderId="1" xfId="0" applyNumberFormat="1" applyFont="1" applyBorder="1" applyAlignment="1">
      <alignment horizontal="left" wrapText="1"/>
    </xf>
    <xf numFmtId="169" fontId="0" fillId="0" borderId="1" xfId="1" applyNumberFormat="1" applyFont="1" applyBorder="1" applyAlignment="1">
      <alignment horizontal="center" wrapText="1"/>
    </xf>
    <xf numFmtId="1" fontId="0" fillId="0" borderId="1" xfId="0" applyNumberFormat="1" applyFont="1" applyBorder="1" applyAlignment="1">
      <alignment horizontal="center" wrapText="1"/>
    </xf>
    <xf numFmtId="0" fontId="0" fillId="0" borderId="1" xfId="0" applyBorder="1"/>
    <xf numFmtId="169" fontId="0" fillId="0" borderId="1" xfId="1" applyNumberFormat="1" applyFont="1" applyBorder="1" applyAlignment="1">
      <alignment horizontal="left"/>
    </xf>
    <xf numFmtId="171" fontId="0" fillId="0" borderId="1" xfId="0" applyNumberFormat="1" applyBorder="1" applyAlignment="1">
      <alignment horizontal="left"/>
    </xf>
    <xf numFmtId="9" fontId="0" fillId="0" borderId="1" xfId="1" applyFont="1" applyBorder="1" applyAlignment="1">
      <alignment horizontal="left" wrapText="1"/>
    </xf>
    <xf numFmtId="4" fontId="0" fillId="0" borderId="1" xfId="0" applyNumberFormat="1" applyFont="1" applyBorder="1" applyAlignment="1">
      <alignment horizontal="left" wrapText="1"/>
    </xf>
    <xf numFmtId="169" fontId="0" fillId="0" borderId="1" xfId="1" applyNumberFormat="1" applyFont="1" applyBorder="1" applyAlignment="1">
      <alignment horizontal="left" wrapText="1"/>
    </xf>
    <xf numFmtId="0" fontId="3" fillId="0" borderId="1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3">
    <dxf>
      <font>
        <color rgb="FF9C0006"/>
      </font>
      <fill>
        <patternFill>
          <bgColor rgb="FF00B050"/>
        </patternFill>
      </fill>
    </dxf>
    <dxf>
      <font>
        <color rgb="FF9C0006"/>
      </font>
      <fill>
        <patternFill>
          <bgColor rgb="FFFF0000"/>
        </patternFill>
      </fill>
    </dxf>
    <dxf>
      <font>
        <color rgb="FF9C0006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>
      <selection activeCell="H5" sqref="H5"/>
    </sheetView>
  </sheetViews>
  <sheetFormatPr baseColWidth="10" defaultColWidth="18.28515625" defaultRowHeight="15" x14ac:dyDescent="0.25"/>
  <cols>
    <col min="1" max="1" width="10.140625" style="2" bestFit="1" customWidth="1"/>
    <col min="2" max="3" width="15.28515625" style="2" bestFit="1" customWidth="1"/>
    <col min="4" max="4" width="14.85546875" style="2" bestFit="1" customWidth="1"/>
    <col min="5" max="5" width="17.28515625" style="2" bestFit="1" customWidth="1"/>
    <col min="6" max="6" width="15.140625" style="2" bestFit="1" customWidth="1"/>
    <col min="7" max="7" width="13.5703125" style="2" bestFit="1" customWidth="1"/>
    <col min="8" max="8" width="16.5703125" style="2" bestFit="1" customWidth="1"/>
    <col min="9" max="9" width="15.7109375" style="2" bestFit="1" customWidth="1"/>
    <col min="10" max="10" width="17.28515625" style="2" bestFit="1" customWidth="1"/>
    <col min="11" max="16384" width="18.28515625" style="2"/>
  </cols>
  <sheetData>
    <row r="1" spans="1:10" s="1" customFormat="1" ht="4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s="6" customFormat="1" x14ac:dyDescent="0.25">
      <c r="A2" s="5" t="s">
        <v>10</v>
      </c>
      <c r="B2" s="9">
        <v>0</v>
      </c>
      <c r="C2" s="9">
        <v>0</v>
      </c>
      <c r="D2" s="10">
        <v>0</v>
      </c>
      <c r="E2" s="10">
        <v>0.81</v>
      </c>
      <c r="F2" s="10">
        <v>0.57999999999999996</v>
      </c>
      <c r="G2" s="10" t="s">
        <v>25</v>
      </c>
      <c r="H2" s="9">
        <v>23500</v>
      </c>
      <c r="I2" s="10">
        <v>0.72</v>
      </c>
      <c r="J2" s="11">
        <v>162</v>
      </c>
    </row>
    <row r="3" spans="1:10" s="6" customFormat="1" x14ac:dyDescent="0.25">
      <c r="A3" s="5" t="s">
        <v>11</v>
      </c>
      <c r="B3" s="9">
        <v>180000</v>
      </c>
      <c r="C3" s="9">
        <v>165000</v>
      </c>
      <c r="D3" s="10">
        <v>0.1</v>
      </c>
      <c r="E3" s="10" t="s">
        <v>23</v>
      </c>
      <c r="F3" s="10">
        <v>0.62</v>
      </c>
      <c r="G3" s="10" t="s">
        <v>26</v>
      </c>
      <c r="H3" s="9">
        <v>19800</v>
      </c>
      <c r="I3" s="10">
        <v>0.74</v>
      </c>
      <c r="J3" s="11">
        <v>145</v>
      </c>
    </row>
    <row r="4" spans="1:10" s="6" customFormat="1" x14ac:dyDescent="0.25">
      <c r="A4" s="5" t="s">
        <v>12</v>
      </c>
      <c r="B4" s="9">
        <v>360000</v>
      </c>
      <c r="C4" s="9">
        <v>335000</v>
      </c>
      <c r="D4" s="10">
        <v>0.2</v>
      </c>
      <c r="E4" s="10">
        <v>0.84</v>
      </c>
      <c r="F4" s="10">
        <v>0.66</v>
      </c>
      <c r="G4" s="10">
        <v>0.06</v>
      </c>
      <c r="H4" s="9">
        <v>16500</v>
      </c>
      <c r="I4" s="10">
        <v>0.76</v>
      </c>
      <c r="J4" s="11">
        <v>128</v>
      </c>
    </row>
    <row r="5" spans="1:10" s="6" customFormat="1" x14ac:dyDescent="0.25">
      <c r="A5" s="5" t="s">
        <v>13</v>
      </c>
      <c r="B5" s="9">
        <v>550000</v>
      </c>
      <c r="C5" s="9">
        <v>512000</v>
      </c>
      <c r="D5" s="10">
        <v>0.3</v>
      </c>
      <c r="E5" s="10" t="s">
        <v>24</v>
      </c>
      <c r="F5" s="10">
        <v>0.71</v>
      </c>
      <c r="G5" s="10" t="s">
        <v>27</v>
      </c>
      <c r="H5" s="9">
        <v>14200</v>
      </c>
      <c r="I5" s="10">
        <v>0.79</v>
      </c>
      <c r="J5" s="11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E4C77-9364-4FB4-9B26-1E9A7E08E2F5}">
  <dimension ref="A1:B15"/>
  <sheetViews>
    <sheetView workbookViewId="0">
      <selection activeCell="B13" sqref="B13"/>
    </sheetView>
  </sheetViews>
  <sheetFormatPr baseColWidth="10" defaultColWidth="35.42578125" defaultRowHeight="15" x14ac:dyDescent="0.25"/>
  <cols>
    <col min="1" max="1" width="35.5703125" style="2" bestFit="1" customWidth="1"/>
    <col min="2" max="2" width="15.7109375" style="2" bestFit="1" customWidth="1"/>
    <col min="3" max="16384" width="35.42578125" style="2"/>
  </cols>
  <sheetData>
    <row r="1" spans="1:2" s="1" customFormat="1" x14ac:dyDescent="0.25">
      <c r="A1" s="3" t="s">
        <v>14</v>
      </c>
      <c r="B1" s="4" t="s">
        <v>15</v>
      </c>
    </row>
    <row r="2" spans="1:2" s="6" customFormat="1" x14ac:dyDescent="0.25">
      <c r="A2" s="8" t="s">
        <v>16</v>
      </c>
      <c r="B2" s="9">
        <v>1480000</v>
      </c>
    </row>
    <row r="3" spans="1:2" s="6" customFormat="1" x14ac:dyDescent="0.25">
      <c r="A3" s="8" t="s">
        <v>17</v>
      </c>
      <c r="B3" s="9">
        <v>105000</v>
      </c>
    </row>
    <row r="4" spans="1:2" s="6" customFormat="1" x14ac:dyDescent="0.25">
      <c r="A4" s="8" t="s">
        <v>18</v>
      </c>
      <c r="B4" s="9">
        <v>78000</v>
      </c>
    </row>
    <row r="6" spans="1:2" x14ac:dyDescent="0.25">
      <c r="A6" s="3" t="s">
        <v>19</v>
      </c>
      <c r="B6" s="3" t="s">
        <v>15</v>
      </c>
    </row>
    <row r="7" spans="1:2" x14ac:dyDescent="0.25">
      <c r="A7" t="s">
        <v>20</v>
      </c>
      <c r="B7" s="9">
        <f>Data_Base!B5</f>
        <v>550000</v>
      </c>
    </row>
    <row r="8" spans="1:2" x14ac:dyDescent="0.25">
      <c r="A8" s="8" t="s">
        <v>21</v>
      </c>
      <c r="B8" s="9">
        <f>Data_Base!C5</f>
        <v>512000</v>
      </c>
    </row>
    <row r="9" spans="1:2" x14ac:dyDescent="0.25">
      <c r="A9" s="8" t="s">
        <v>22</v>
      </c>
      <c r="B9" s="9">
        <f>B2*Data_Base!D5</f>
        <v>444000</v>
      </c>
    </row>
    <row r="10" spans="1:2" x14ac:dyDescent="0.25">
      <c r="A10" s="8" t="s">
        <v>28</v>
      </c>
      <c r="B10" s="9">
        <f>B9-B7</f>
        <v>-106000</v>
      </c>
    </row>
    <row r="11" spans="1:2" x14ac:dyDescent="0.25">
      <c r="A11" s="8" t="s">
        <v>29</v>
      </c>
      <c r="B11" s="16">
        <f>B9/B7</f>
        <v>0.80727272727272725</v>
      </c>
    </row>
    <row r="12" spans="1:2" x14ac:dyDescent="0.25">
      <c r="A12" s="8" t="s">
        <v>30</v>
      </c>
      <c r="B12" s="9">
        <f>B9-B8</f>
        <v>-68000</v>
      </c>
    </row>
    <row r="13" spans="1:2" x14ac:dyDescent="0.25">
      <c r="A13" s="8" t="s">
        <v>31</v>
      </c>
      <c r="B13" s="16">
        <f>B9/B8</f>
        <v>0.8671875</v>
      </c>
    </row>
    <row r="14" spans="1:2" x14ac:dyDescent="0.25">
      <c r="A14" s="8" t="s">
        <v>32</v>
      </c>
      <c r="B14" s="9">
        <f>B2/B13</f>
        <v>1706666.6666666667</v>
      </c>
    </row>
    <row r="15" spans="1:2" x14ac:dyDescent="0.25">
      <c r="A15" s="8" t="s">
        <v>33</v>
      </c>
      <c r="B15" s="9">
        <f>B2-B14</f>
        <v>-226666.66666666674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72D6E-561D-4F72-8615-C9DB64AB4303}">
  <dimension ref="A1:P9"/>
  <sheetViews>
    <sheetView tabSelected="1" workbookViewId="0">
      <selection activeCell="C6" sqref="C6"/>
    </sheetView>
  </sheetViews>
  <sheetFormatPr baseColWidth="10" defaultColWidth="19.7109375" defaultRowHeight="15" x14ac:dyDescent="0.25"/>
  <cols>
    <col min="1" max="1" width="19.85546875" bestFit="1" customWidth="1"/>
    <col min="2" max="2" width="2" customWidth="1"/>
    <col min="3" max="3" width="15.5703125" bestFit="1" customWidth="1"/>
    <col min="4" max="4" width="1.85546875" customWidth="1"/>
    <col min="5" max="5" width="14.5703125" bestFit="1" customWidth="1"/>
    <col min="6" max="6" width="1.85546875" customWidth="1"/>
    <col min="7" max="7" width="8.5703125" bestFit="1" customWidth="1"/>
    <col min="8" max="8" width="1.7109375" customWidth="1"/>
    <col min="9" max="9" width="3.5703125" bestFit="1" customWidth="1"/>
    <col min="10" max="10" width="32.42578125" bestFit="1" customWidth="1"/>
    <col min="11" max="11" width="13.140625" bestFit="1" customWidth="1"/>
    <col min="12" max="12" width="6.5703125" bestFit="1" customWidth="1"/>
    <col min="13" max="13" width="8.5703125" bestFit="1" customWidth="1"/>
    <col min="14" max="14" width="43.140625" bestFit="1" customWidth="1"/>
    <col min="15" max="15" width="19.28515625" bestFit="1" customWidth="1"/>
    <col min="16" max="16" width="32.42578125" bestFit="1" customWidth="1"/>
  </cols>
  <sheetData>
    <row r="1" spans="1:16" x14ac:dyDescent="0.25">
      <c r="A1" s="3" t="s">
        <v>34</v>
      </c>
      <c r="C1" s="3" t="s">
        <v>35</v>
      </c>
      <c r="E1" s="3" t="s">
        <v>36</v>
      </c>
      <c r="G1" s="3" t="s">
        <v>37</v>
      </c>
      <c r="I1" s="4" t="s">
        <v>49</v>
      </c>
      <c r="J1" s="4" t="s">
        <v>47</v>
      </c>
      <c r="K1" s="4" t="s">
        <v>42</v>
      </c>
      <c r="L1" s="4" t="s">
        <v>43</v>
      </c>
      <c r="M1" s="4" t="s">
        <v>44</v>
      </c>
      <c r="N1" s="4" t="s">
        <v>48</v>
      </c>
      <c r="O1" s="4" t="s">
        <v>45</v>
      </c>
      <c r="P1" s="4" t="s">
        <v>46</v>
      </c>
    </row>
    <row r="2" spans="1:16" x14ac:dyDescent="0.25">
      <c r="A2" s="3" t="s">
        <v>41</v>
      </c>
      <c r="B2" s="1"/>
      <c r="C2" s="3" t="s">
        <v>40</v>
      </c>
      <c r="D2" s="1"/>
      <c r="E2" s="3" t="s">
        <v>39</v>
      </c>
      <c r="G2" s="3" t="s">
        <v>38</v>
      </c>
      <c r="I2" s="12">
        <v>1</v>
      </c>
      <c r="J2" s="12" t="s">
        <v>50</v>
      </c>
      <c r="K2" s="16">
        <f>+Calculos_EVM!B11</f>
        <v>0.80727272727272725</v>
      </c>
      <c r="L2" s="14">
        <v>1</v>
      </c>
      <c r="M2" s="18" t="str">
        <f>IF(K2&gt;=1, "Verde", IF(K2&gt;=0.9, "Amarillo", "Rojo"))</f>
        <v>Rojo</v>
      </c>
      <c r="N2" s="12" t="s">
        <v>51</v>
      </c>
      <c r="O2" s="12" t="s">
        <v>52</v>
      </c>
      <c r="P2" s="12" t="s">
        <v>53</v>
      </c>
    </row>
    <row r="3" spans="1:16" x14ac:dyDescent="0.25">
      <c r="A3" s="7">
        <f>Calculos_EVM!B2</f>
        <v>1480000</v>
      </c>
      <c r="B3" s="2"/>
      <c r="C3" s="7">
        <f>Calculos_EVM!B9</f>
        <v>444000</v>
      </c>
      <c r="D3" s="2"/>
      <c r="E3" s="7">
        <f>Calculos_EVM!B11</f>
        <v>0.80727272727272725</v>
      </c>
      <c r="G3" s="7">
        <f>Calculos_EVM!B13</f>
        <v>0.8671875</v>
      </c>
      <c r="I3" s="12">
        <f>+I2+1</f>
        <v>2</v>
      </c>
      <c r="J3" s="12" t="s">
        <v>54</v>
      </c>
      <c r="K3" s="16">
        <f>+Calculos_EVM!B13</f>
        <v>0.8671875</v>
      </c>
      <c r="L3" s="14">
        <v>1</v>
      </c>
      <c r="M3" s="18" t="str">
        <f>IF(K3&gt;=1, "Verde", IF(K3&gt;=0.92, "Amarillo", "Rojo"))</f>
        <v>Rojo</v>
      </c>
      <c r="N3" s="12" t="s">
        <v>55</v>
      </c>
      <c r="O3" s="12" t="s">
        <v>56</v>
      </c>
      <c r="P3" s="12" t="s">
        <v>57</v>
      </c>
    </row>
    <row r="4" spans="1:16" x14ac:dyDescent="0.25">
      <c r="I4" s="12">
        <f t="shared" ref="I4:I9" si="0">+I3+1</f>
        <v>3</v>
      </c>
      <c r="J4" s="12" t="s">
        <v>58</v>
      </c>
      <c r="K4" s="17">
        <v>0.85499999999999998</v>
      </c>
      <c r="L4" s="13">
        <v>0.94</v>
      </c>
      <c r="M4" s="18" t="str">
        <f>IF(K4&gt;=0.94, "Verde", IF(K4&gt;=0.88, "Amarillo", "Rojo"))</f>
        <v>Rojo</v>
      </c>
      <c r="N4" s="12" t="s">
        <v>59</v>
      </c>
      <c r="O4" s="12" t="s">
        <v>60</v>
      </c>
      <c r="P4" s="12" t="s">
        <v>61</v>
      </c>
    </row>
    <row r="5" spans="1:16" x14ac:dyDescent="0.25">
      <c r="I5" s="12">
        <f t="shared" si="0"/>
        <v>4</v>
      </c>
      <c r="J5" s="12" t="s">
        <v>62</v>
      </c>
      <c r="K5" s="15">
        <f>+Data_Base!F5</f>
        <v>0.71</v>
      </c>
      <c r="L5" s="13">
        <v>0.95</v>
      </c>
      <c r="M5" s="18" t="str">
        <f>IF(K5&gt;=0.95, "Verde", IF(K5&gt;=0.8, "Amarillo", "Rojo"))</f>
        <v>Rojo</v>
      </c>
      <c r="N5" s="12" t="s">
        <v>63</v>
      </c>
      <c r="O5" s="12" t="s">
        <v>64</v>
      </c>
      <c r="P5" s="12" t="s">
        <v>65</v>
      </c>
    </row>
    <row r="6" spans="1:16" x14ac:dyDescent="0.25">
      <c r="I6" s="12">
        <f t="shared" si="0"/>
        <v>5</v>
      </c>
      <c r="J6" s="12" t="s">
        <v>66</v>
      </c>
      <c r="K6" s="9" t="str">
        <f>+Data_Base!G5</f>
        <v>5,2%</v>
      </c>
      <c r="L6" s="13" t="s">
        <v>67</v>
      </c>
      <c r="M6" s="18" t="str">
        <f>IF(K6&lt;=0.025, "Verde", IF(K6&lt;=0.04, "Amarillo", "Rojo"))</f>
        <v>Rojo</v>
      </c>
      <c r="N6" s="12" t="s">
        <v>68</v>
      </c>
      <c r="O6" s="12" t="s">
        <v>69</v>
      </c>
      <c r="P6" s="12" t="s">
        <v>70</v>
      </c>
    </row>
    <row r="7" spans="1:16" x14ac:dyDescent="0.25">
      <c r="I7" s="12">
        <f t="shared" si="0"/>
        <v>6</v>
      </c>
      <c r="J7" s="12" t="s">
        <v>71</v>
      </c>
      <c r="K7" s="9">
        <f>+Data_Base!H5</f>
        <v>14200</v>
      </c>
      <c r="L7" s="9" t="s">
        <v>72</v>
      </c>
      <c r="M7" s="18" t="str">
        <f>IF(K7&lt;=8500, "Verde", IF(K7&lt;=12000, "Amarillo", "Rojo"))</f>
        <v>Rojo</v>
      </c>
      <c r="N7" s="12" t="s">
        <v>73</v>
      </c>
      <c r="O7" s="12" t="s">
        <v>74</v>
      </c>
      <c r="P7" s="12" t="s">
        <v>75</v>
      </c>
    </row>
    <row r="8" spans="1:16" x14ac:dyDescent="0.25">
      <c r="I8" s="12">
        <f t="shared" si="0"/>
        <v>7</v>
      </c>
      <c r="J8" s="12" t="s">
        <v>76</v>
      </c>
      <c r="K8" s="15">
        <f>+Data_Base!I5</f>
        <v>0.79</v>
      </c>
      <c r="L8" s="13">
        <v>0.96</v>
      </c>
      <c r="M8" s="18" t="str">
        <f>IF(K8&gt;=0.96, "Verde", IF(K8&gt;=0.85, "Amarillo", "Rojo"))</f>
        <v>Rojo</v>
      </c>
      <c r="N8" s="12" t="s">
        <v>77</v>
      </c>
      <c r="O8" s="12" t="s">
        <v>78</v>
      </c>
      <c r="P8" s="12" t="s">
        <v>79</v>
      </c>
    </row>
    <row r="9" spans="1:16" x14ac:dyDescent="0.25">
      <c r="I9" s="12">
        <f t="shared" si="0"/>
        <v>8</v>
      </c>
      <c r="J9" s="12" t="s">
        <v>9</v>
      </c>
      <c r="K9" s="14">
        <f>+Data_Base!J5</f>
        <v>110</v>
      </c>
      <c r="L9" s="14">
        <v>60</v>
      </c>
      <c r="M9" s="18" t="str">
        <f>IF(K9&lt;=60, "Verde", IF(K9&lt;=90, "Amarillo", "Rojo"))</f>
        <v>Rojo</v>
      </c>
      <c r="N9" s="12" t="s">
        <v>80</v>
      </c>
      <c r="O9" s="12" t="s">
        <v>82</v>
      </c>
      <c r="P9" s="12" t="s">
        <v>81</v>
      </c>
    </row>
  </sheetData>
  <conditionalFormatting sqref="M2:M9">
    <cfRule type="cellIs" dxfId="2" priority="4" operator="equal">
      <formula>"Amarillo"</formula>
    </cfRule>
    <cfRule type="cellIs" dxfId="1" priority="5" operator="equal">
      <formula>"Rojo"</formula>
    </cfRule>
    <cfRule type="cellIs" dxfId="0" priority="6" operator="equal">
      <formula>"Verde"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Data_Base</vt:lpstr>
      <vt:lpstr>Calculos_EVM</vt:lpstr>
      <vt:lpstr>Dashboard_Ejecutivo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diego david arciniegas contreras</cp:lastModifiedBy>
  <dcterms:created xsi:type="dcterms:W3CDTF">2015-06-05T18:19:34Z</dcterms:created>
  <dcterms:modified xsi:type="dcterms:W3CDTF">2026-10-06T14:06:38Z</dcterms:modified>
</cp:coreProperties>
</file>